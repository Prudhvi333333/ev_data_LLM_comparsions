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1">
    <numFmt numFmtId="164" formatCode="0.0000"/>
  </numFmts>
  <fonts count="2">
    <font>
      <name val="Calibri"/>
      <family val="2"/>
      <color theme="1"/>
      <sz val="11"/>
      <scheme val="minor"/>
    </font>
    <font>
      <b val="1"/>
      <color rgb="00FFFFFF"/>
    </font>
  </fonts>
  <fills count="8">
    <fill>
      <patternFill/>
    </fill>
    <fill>
      <patternFill patternType="gray125"/>
    </fill>
    <fill>
      <patternFill patternType="solid">
        <fgColor rgb="001F4E78"/>
      </patternFill>
    </fill>
    <fill>
      <patternFill patternType="solid">
        <fgColor rgb="00D9EAF7"/>
      </patternFill>
    </fill>
    <fill>
      <patternFill patternType="solid">
        <fgColor rgb="00F4CCCC"/>
      </patternFill>
    </fill>
    <fill>
      <patternFill patternType="solid">
        <fgColor rgb="00FFFFFF"/>
      </patternFill>
    </fill>
    <fill>
      <patternFill patternType="solid">
        <fgColor rgb="00C6EFCE"/>
      </patternFill>
    </fill>
    <fill>
      <patternFill patternType="solid">
        <fgColor rgb="00FFF2C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164" fontId="0" fillId="4" borderId="0" applyAlignment="1" pivotButton="0" quotePrefix="0" xfId="0">
      <alignment vertical="top" wrapText="1"/>
    </xf>
    <xf numFmtId="0" fontId="0" fillId="5" borderId="0" applyAlignment="1" pivotButton="0" quotePrefix="0" xfId="0">
      <alignment vertical="top" wrapText="1"/>
    </xf>
    <xf numFmtId="164" fontId="0" fillId="6" borderId="0" applyAlignment="1" pivotButton="0" quotePrefix="0" xfId="0">
      <alignment vertical="top" wrapText="1"/>
    </xf>
    <xf numFmtId="0" fontId="1" fillId="2" borderId="0" pivotButton="0" quotePrefix="0" xfId="0"/>
    <xf numFmtId="164" fontId="0" fillId="7"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Mean Metric Scores</a:t>
            </a:r>
          </a:p>
        </rich>
      </tx>
    </title>
    <plotArea>
      <barChart>
        <barDir val="col"/>
        <grouping val="clustered"/>
        <ser>
          <idx val="0"/>
          <order val="0"/>
          <tx>
            <strRef>
              <f>'Summary'!B1</f>
            </strRef>
          </tx>
          <spPr>
            <a:ln xmlns:a="http://schemas.openxmlformats.org/drawingml/2006/main">
              <a:prstDash val="solid"/>
            </a:ln>
          </spPr>
          <cat>
            <numRef>
              <f>'Summary'!$A$2:$A$7</f>
            </numRef>
          </cat>
          <val>
            <numRef>
              <f>'Summary'!$B$2:$B$7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Metric</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50" customWidth="1" min="3" max="3"/>
    <col width="60" customWidth="1" min="4" max="4"/>
    <col width="80" customWidth="1" min="5" max="5"/>
    <col width="90" customWidth="1" min="6" max="6"/>
    <col width="14" customWidth="1" min="7" max="7"/>
    <col width="18" customWidth="1" min="8" max="8"/>
    <col width="19" customWidth="1" min="9" max="9"/>
    <col width="16" customWidth="1" min="10" max="10"/>
    <col width="20" customWidth="1" min="11" max="11"/>
    <col width="13" customWidth="1" min="12" max="12"/>
    <col width="50" customWidth="1" min="13" max="13"/>
    <col width="50" customWidth="1" min="14" max="14"/>
  </cols>
  <sheetData>
    <row r="1">
      <c r="A1" s="1" t="inlineStr">
        <is>
          <t>Question_ID</t>
        </is>
      </c>
      <c r="B1" s="1" t="inlineStr">
        <is>
          <t>Use_Case_Category</t>
        </is>
      </c>
      <c r="C1" s="1" t="inlineStr">
        <is>
          <t>Question</t>
        </is>
      </c>
      <c r="D1" s="1" t="inlineStr">
        <is>
          <t>Golden_Answer</t>
        </is>
      </c>
      <c r="E1" s="1" t="inlineStr">
        <is>
          <t>Generated_Answer</t>
        </is>
      </c>
      <c r="F1" s="1" t="inlineStr">
        <is>
          <t>Retrieved_Context</t>
        </is>
      </c>
      <c r="G1" s="1" t="inlineStr">
        <is>
          <t>Faithfulness</t>
        </is>
      </c>
      <c r="H1" s="1" t="inlineStr">
        <is>
          <t>Answer_Relevancy</t>
        </is>
      </c>
      <c r="I1" s="1" t="inlineStr">
        <is>
          <t>Context_Precision</t>
        </is>
      </c>
      <c r="J1" s="1" t="inlineStr">
        <is>
          <t>Context_Recall</t>
        </is>
      </c>
      <c r="K1" s="1" t="inlineStr">
        <is>
          <t>Answer_Correctness</t>
        </is>
      </c>
      <c r="L1" s="1" t="inlineStr">
        <is>
          <t>Final_Score</t>
        </is>
      </c>
      <c r="M1" s="1" t="inlineStr">
        <is>
          <t>Faithfulness_Reason</t>
        </is>
      </c>
      <c r="N1" s="1" t="inlineStr">
        <is>
          <t>Relevancy_Reason</t>
        </is>
      </c>
    </row>
    <row r="2" ht="90" customHeight="1">
      <c r="A2" s="2" t="n">
        <v>38</v>
      </c>
      <c r="B2" s="2" t="inlineStr">
        <is>
          <t>Product &amp; Technology Trends</t>
        </is>
      </c>
      <c r="C2" s="2" t="inlineStr">
        <is>
          <t>Which Georgia automotive companies employ over 1,000 workers but are currently categorized as only "Indirectly Relevant" to the EV sector, indicating a massive workforce pool ready for a strategic pivot?</t>
        </is>
      </c>
      <c r="D2" s="2" t="inlineStr">
        <is>
          <t>There are 3 Georgia automotive companies that employ more than 1,000 workers while being categorised as Indirectly Relevant to the EV sector:
TCI Powder Coatings | Employment: 3,000 | Updated Location: Ellaville, Schley County
Teklas USA | Employment: 1,800 | Updated Location: Calhoun, Gordon County
Textron Specialized Vehicles | Employment: 1,100 | Updated Location: Augusta, Richmond County</t>
        </is>
      </c>
      <c r="E2" s="2" t="inlineStr">
        <is>
          <t>Indirectly EV-relevant companies above the employment threshold:
- TCI Powder Coatings | Employment: 3,000 | Updated Location: Ellaville, Schley County
Total companies: 1</t>
        </is>
      </c>
      <c r="F2" s="2" t="inlineStr">
        <is>
          <t>STRUCTURED INDIRECT EV HIGH EMPLOYMENT LIST (computed from retrieved rows):
Threshold: &gt; 1,000
Total Companies: 1
- TCI Powder Coatings | Employment: 3,000 | Updated Location: Ellaville, Schley County</t>
        </is>
      </c>
      <c r="G2" s="3" t="n">
        <v>0.33</v>
      </c>
      <c r="H2" s="3" t="n">
        <v>0.33</v>
      </c>
      <c r="I2" s="3" t="n">
        <v>0.33</v>
      </c>
      <c r="J2" s="3" t="n">
        <v>0.33</v>
      </c>
      <c r="K2" s="3" t="n">
        <v>0.33</v>
      </c>
      <c r="L2" s="3" t="n">
        <v>0.33</v>
      </c>
      <c r="M2" s="2" t="inlineStr">
        <is>
          <t>The generated answer correctly identifies TCI Powder Coatings with accurate details from the retrieved context, but fails to include two other companies (Teklas USA and Textron Specialized Vehicles) that are present in the golden answer. Since the retrieved context only shows 1 company, the answer is faithful to the retrieved context but incomplete compared to the ground truth, suggesting the retrieval itself was incomplete.</t>
        </is>
      </c>
      <c r="N2" s="2" t="inlineStr">
        <is>
          <t>The generated answer correctly identifies one company (TCI Powder Coatings) with accurate employment and location data, but fails to include two other companies from the golden answer (Teklas USA with 1,800 workers and Textron Specialized Vehicles with 1,100 workers), making it incomplete and missing 67% of the relevant information.</t>
        </is>
      </c>
    </row>
    <row r="3" ht="90" customHeight="1">
      <c r="A3" s="4" t="n">
        <v>44</v>
      </c>
      <c r="B3" s="4" t="inlineStr">
        <is>
          <t>Product &amp; Technology Trends</t>
        </is>
      </c>
      <c r="C3" s="4" t="inlineStr">
        <is>
          <t>Which Georgia suppliers appear to play innovation-stage roles through research, development, or prototyping activity?</t>
        </is>
      </c>
      <c r="D3" s="4" t="inlineStr">
        <is>
          <t>There is only 1 Georgia company that clearly appears to be an innovation-stage roles through research, development, or prototyping activity.
Racemark International LLC | Product: Manufacturing and R&amp;D engine parts for EV</t>
        </is>
      </c>
      <c r="E3" s="4" t="inlineStr">
        <is>
          <t>Innovation-stage supplier candidates in Georgia:
- Racemark International LLC | Product: Manufacturing and R&amp;D engine parts for EV
Total companies: 1</t>
        </is>
      </c>
      <c r="F3" s="4" t="inlineStr">
        <is>
          <t>STRUCTURED INNOVATION-STAGE SUPPLIER CANDIDATES (computed from retrieved rows):
Total Companies: 1
- Racemark International LLC | Product: Manufacturing and R&amp;D engine parts for EV</t>
        </is>
      </c>
      <c r="G3" s="5" t="n">
        <v>1</v>
      </c>
      <c r="H3" s="5" t="n">
        <v>1</v>
      </c>
      <c r="I3" s="5" t="n">
        <v>1</v>
      </c>
      <c r="J3" s="5" t="n">
        <v>1</v>
      </c>
      <c r="K3" s="5" t="n">
        <v>1</v>
      </c>
      <c r="L3" s="5" t="n">
        <v>1</v>
      </c>
      <c r="M3" s="4" t="inlineStr">
        <is>
          <t>The generated answer is fully grounded in the retrieved context, correctly identifying Racemark International LLC as the sole Georgia supplier with innovation-stage R&amp;D activity for EV engine parts, matching both the count and details from the structured context.</t>
        </is>
      </c>
      <c r="N3" s="4" t="inlineStr">
        <is>
          <t>The generated answer directly and completely addresses the question by identifying Racemark International LLC as the sole Georgia supplier with innovation-stage activity, matching the golden answer's content and count.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0" customWidth="1" min="1" max="1"/>
    <col width="7" customWidth="1" min="2" max="2"/>
    <col width="21" customWidth="1" min="3" max="3"/>
  </cols>
  <sheetData>
    <row r="1">
      <c r="A1" s="6" t="inlineStr">
        <is>
          <t>Metric</t>
        </is>
      </c>
      <c r="B1" s="6" t="inlineStr">
        <is>
          <t>Mean</t>
        </is>
      </c>
      <c r="C1" s="6" t="inlineStr">
        <is>
          <t>Std Dev</t>
        </is>
      </c>
    </row>
    <row r="2">
      <c r="A2" t="inlineStr">
        <is>
          <t>faithfulness</t>
        </is>
      </c>
      <c r="B2" s="7" t="n">
        <v>0.665</v>
      </c>
      <c r="C2" s="8" t="n">
        <v>0.335</v>
      </c>
    </row>
    <row r="3">
      <c r="A3" t="inlineStr">
        <is>
          <t>answer_relevancy</t>
        </is>
      </c>
      <c r="B3" s="7" t="n">
        <v>0.665</v>
      </c>
      <c r="C3" s="8" t="n">
        <v>0.335</v>
      </c>
    </row>
    <row r="4">
      <c r="A4" t="inlineStr">
        <is>
          <t>context_precision</t>
        </is>
      </c>
      <c r="B4" s="7" t="n">
        <v>0.665</v>
      </c>
      <c r="C4" s="8" t="n">
        <v>0.335</v>
      </c>
    </row>
    <row r="5">
      <c r="A5" t="inlineStr">
        <is>
          <t>context_recall</t>
        </is>
      </c>
      <c r="B5" s="7" t="n">
        <v>0.665</v>
      </c>
      <c r="C5" s="8" t="n">
        <v>0.335</v>
      </c>
    </row>
    <row r="6">
      <c r="A6" t="inlineStr">
        <is>
          <t>answer_correctness</t>
        </is>
      </c>
      <c r="B6" s="7" t="n">
        <v>0.665</v>
      </c>
      <c r="C6" s="8" t="n">
        <v>0.335</v>
      </c>
    </row>
    <row r="7">
      <c r="A7" t="inlineStr">
        <is>
          <t>final_score</t>
        </is>
      </c>
      <c r="B7" s="7" t="n">
        <v>0.665</v>
      </c>
      <c r="C7" s="8" t="n">
        <v>0.335</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2026-04-05T18:46:50Z</dcterms:created>
  <dcterms:modified xmlns:dcterms="http://purl.org/dc/terms/" xmlns:xsi="http://www.w3.org/2001/XMLSchema-instance" xsi:type="dcterms:W3CDTF">2026-04-05T18:46:50Z</dcterms:modified>
</cp:coreProperties>
</file>