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D9EAF7"/>
      </patternFill>
    </fill>
    <fill>
      <patternFill patternType="solid">
        <fgColor rgb="00F4CCCC"/>
      </patternFill>
    </fill>
    <fill>
      <patternFill patternType="solid">
        <fgColor rgb="00C6EFCE"/>
      </patternFill>
    </fill>
    <fill>
      <patternFill patternType="solid">
        <fgColor rgb="00FFFFFF"/>
      </patternFill>
    </fill>
    <fill>
      <patternFill patternType="solid">
        <fgColor rgb="00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164" fontId="0" fillId="4" borderId="0" applyAlignment="1" pivotButton="0" quotePrefix="0" xfId="0">
      <alignment vertical="top" wrapText="1"/>
    </xf>
    <xf numFmtId="164" fontId="0" fillId="5" borderId="0" applyAlignment="1" pivotButton="0" quotePrefix="0" xfId="0">
      <alignment vertical="top" wrapText="1"/>
    </xf>
    <xf numFmtId="0" fontId="0" fillId="6" borderId="0" applyAlignment="1" pivotButton="0" quotePrefix="0" xfId="0">
      <alignment vertical="top" wrapText="1"/>
    </xf>
    <xf numFmtId="0" fontId="1" fillId="2" borderId="0" pivotButton="0" quotePrefix="0" xfId="0"/>
    <xf numFmtId="164" fontId="0" fillId="7" borderId="0" pivotButton="0" quotePrefix="0" xfId="0"/>
    <xf numFmtId="164" fontId="0" fillId="0" borderId="0" pivotButton="0" quotePrefix="0" xfId="0"/>
    <xf numFmtId="164"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Mean Metric Scores</a:t>
            </a:r>
          </a:p>
        </rich>
      </tx>
    </title>
    <plotArea>
      <barChart>
        <barDir val="col"/>
        <grouping val="clustered"/>
        <ser>
          <idx val="0"/>
          <order val="0"/>
          <tx>
            <strRef>
              <f>'Summary'!B1</f>
            </strRef>
          </tx>
          <spPr>
            <a:ln xmlns:a="http://schemas.openxmlformats.org/drawingml/2006/main">
              <a:prstDash val="solid"/>
            </a:ln>
          </spPr>
          <cat>
            <numRef>
              <f>'Summary'!$A$2:$A$7</f>
            </numRef>
          </cat>
          <val>
            <numRef>
              <f>'Summary'!$B$2:$B$7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Metric</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0" customWidth="1" min="3" max="3"/>
    <col width="60" customWidth="1" min="4" max="4"/>
    <col width="80" customWidth="1" min="5" max="5"/>
    <col width="90" customWidth="1" min="6" max="6"/>
    <col width="14" customWidth="1" min="7" max="7"/>
    <col width="18" customWidth="1" min="8" max="8"/>
    <col width="19" customWidth="1" min="9" max="9"/>
    <col width="16" customWidth="1" min="10" max="10"/>
    <col width="20" customWidth="1" min="11" max="11"/>
    <col width="20" customWidth="1" min="12" max="12"/>
    <col width="50" customWidth="1" min="13" max="13"/>
    <col width="50" customWidth="1" min="14" max="14"/>
  </cols>
  <sheetData>
    <row r="1">
      <c r="A1" s="1" t="inlineStr">
        <is>
          <t>Question_ID</t>
        </is>
      </c>
      <c r="B1" s="1" t="inlineStr">
        <is>
          <t>Use_Case_Category</t>
        </is>
      </c>
      <c r="C1" s="1" t="inlineStr">
        <is>
          <t>Question</t>
        </is>
      </c>
      <c r="D1" s="1" t="inlineStr">
        <is>
          <t>Golden_Answer</t>
        </is>
      </c>
      <c r="E1" s="1" t="inlineStr">
        <is>
          <t>Generated_Answer</t>
        </is>
      </c>
      <c r="F1" s="1" t="inlineStr">
        <is>
          <t>Retrieved_Context</t>
        </is>
      </c>
      <c r="G1" s="1" t="inlineStr">
        <is>
          <t>Faithfulness</t>
        </is>
      </c>
      <c r="H1" s="1" t="inlineStr">
        <is>
          <t>Answer_Relevancy</t>
        </is>
      </c>
      <c r="I1" s="1" t="inlineStr">
        <is>
          <t>Context_Precision</t>
        </is>
      </c>
      <c r="J1" s="1" t="inlineStr">
        <is>
          <t>Context_Recall</t>
        </is>
      </c>
      <c r="K1" s="1" t="inlineStr">
        <is>
          <t>Answer_Correctness</t>
        </is>
      </c>
      <c r="L1" s="1" t="inlineStr">
        <is>
          <t>Final_Score</t>
        </is>
      </c>
      <c r="M1" s="1" t="inlineStr">
        <is>
          <t>Faithfulness_Reason</t>
        </is>
      </c>
      <c r="N1" s="1" t="inlineStr">
        <is>
          <t>Relevancy_Reason</t>
        </is>
      </c>
    </row>
    <row r="2" ht="90" customHeight="1">
      <c r="A2" s="2" t="n">
        <v>1</v>
      </c>
      <c r="B2" s="2" t="inlineStr">
        <is>
          <t>Supply Chain Mapping &amp; Visibility</t>
        </is>
      </c>
      <c r="C2" s="2" t="inlineStr">
        <is>
          <t>Show all Tier 1/2 suppliers in Georgia, list their EV Supply Chain Role and Product / Service.</t>
        </is>
      </c>
      <c r="D2" s="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s="2" t="inlineStr">
        <is>
          <t>GENERATION_TIMEOUT</t>
        </is>
      </c>
      <c r="F2" s="2" t="inlineStr">
        <is>
          <t>STRUCTURED SUPPLIER ROLE-PRODUCT LIST (computed from retrieved rows):
Total Companies: 18
- F&amp;P Georgia Manufacturing | Tier 1/2 | Battery Pack | Lithium-ion battery recycler and raw materials provider
- Hyundai Transys Georgia Seating Systems | Tier 1/2 | General Automotive | Automotive electronics, resonators, capacitors, resistors, electronics and electronic parts
- Hyundai Transys Georgia Powertrain | Tier 1/2 | Thermal Management | Electrical heaters, control units, and actuators
- IMS Gear Georgia Inc. | Tier 1/2 | General Automotive | Car audio systems
- Hyundai MOBIS (Georgia) | Tier 1/2 | General Automotive | Capacitors, electronic automotive components
- Fouts Brothers Fire Equipment | Tier 1/2 | General Automotive | Automotive body parts and electronics Cylinder-head and specialty gaskets, housing modules and shielding systems for engines, transmissions, exhaust systems and auxiliary units
- JAC Products Inc. | Tier 1/2 | General Automotive | Switches, resistors and related products
- Hyundai Industrial Co. | Tier 1/2 | General Automotive | Automotive batteries
- Hitachi Astemo | Tier 1/2 | General Automotive | Car audio systems
- Jefferson Southern Corp. | Tier 1/2 | General Automotive | High current switches and resistors for automotive HVAC systems
- Hollingsworth &amp; Vose Co. | Tier 1/2 | Battery Pack | Lithium-ion battery materials
- Hyundai Motor Group | Tier 1/2 | Battery Pack | Battery parts for electric vehicles
- Hyundai &amp; LG Energy Solution (LGES) | Tier 1/2 | General Automotive | Storage batteries
- Hwashin | Tier 1/2 | General Automotive | Modules and storage systems
- Hitachi Astemo Americas Inc. | Tier 1/2 | Battery Cell | Battery cells for electric mobility
- IMMI | Tier 1/2 | Battery Pack | Battery electrolyte
- Inalfa Roof Systems Inc. | Tier 1/2 | General Automotive | Automotive electronic safety systems
- Honda Development &amp; Manufacturing | Tier 1/2 | Battery Cell | Battery cells for electric mobility</t>
        </is>
      </c>
      <c r="G2" s="3" t="n">
        <v>0</v>
      </c>
      <c r="H2" s="3" t="n">
        <v>0</v>
      </c>
      <c r="I2" s="4" t="n">
        <v>1</v>
      </c>
      <c r="J2" s="4" t="n">
        <v>1</v>
      </c>
      <c r="K2" s="3" t="n">
        <v>0</v>
      </c>
      <c r="L2" s="3" t="n">
        <v>0.4</v>
      </c>
      <c r="M2" s="2" t="inlineStr">
        <is>
          <t>The generated answer is 'GENERATION_TIMEOUT', which contains no actual statements to evaluate for faithfulness. Since there is no meaningful content generated, the response completely fails the faithfulness metric.</t>
        </is>
      </c>
      <c r="N2" s="2" t="inlineStr">
        <is>
          <t>The generated answer is a timeout error with no actual content, completely failing to address the user question about Tier 1/2 suppliers in Georgia and their EV Supply Chain Roles and Products/Services.</t>
        </is>
      </c>
    </row>
    <row r="3" ht="90" customHeight="1">
      <c r="A3" s="5" t="n">
        <v>3</v>
      </c>
      <c r="B3" s="5" t="inlineStr">
        <is>
          <t>Supply Chain Mapping &amp; Visibility</t>
        </is>
      </c>
      <c r="C3" s="5" t="inlineStr">
        <is>
          <t>Map all Thermal Management suppliers in Georgia and show which Primary OEMs they are linked to.</t>
        </is>
      </c>
      <c r="D3" s="5"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E3" s="5" t="inlineStr">
        <is>
          <t>- Company: Hyundai Transys Georgia Powertrain
  - Primary OEMs: Hyundai, Kia, Rivian
- Company: Novelis Inc.
  - Primary OEMs: Not specified
- Company: Freudenberg-NOK
  - Primary OEMs: Not specified
- Company: Peerless-Winsmith Inc.
  - Primary OEMs: Not specified</t>
        </is>
      </c>
      <c r="F3" s="5"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t>
        </is>
      </c>
      <c r="G3" s="4" t="n">
        <v>0.75</v>
      </c>
      <c r="H3" s="4" t="n">
        <v>0.75</v>
      </c>
      <c r="I3" s="4" t="n">
        <v>1</v>
      </c>
      <c r="J3" s="4" t="n">
        <v>1</v>
      </c>
      <c r="K3" s="4" t="n">
        <v>0.75</v>
      </c>
      <c r="L3" s="4" t="n">
        <v>0.8500000000000001</v>
      </c>
      <c r="M3" s="5" t="inlineStr">
        <is>
          <t>The generated answer correctly identifies all 4 Thermal Management suppliers from the retrieved context and accurately lists Hyundai Transys Georgia Powertrain's OEMs (Hyundai, Kia, Rivian). However, it incorrectly states 'Not specified' for Novelis Inc., Freudenberg-NOK, and Peerless-Winsmith Inc., when the retrieved context clearly states 'Multiple OEMs' for all three companies. This represents a partial hallucination/omission of available information.</t>
        </is>
      </c>
      <c r="N3" s="5" t="inlineStr">
        <is>
          <t>The generated answer correctly identifies all 4 Thermal Management suppliers in Georgia and accurately lists the Primary OEMs for Hyundai Transys Georgia Powertrain. However, it fails to specify 'Multiple OEMs' for Freudenberg-NOK and Peerless-Winsmith Inc. as provided in the golden answer, instead marking them as 'Not specified', which is incomplete information.</t>
        </is>
      </c>
    </row>
    <row r="4" ht="90" customHeight="1">
      <c r="A4" s="2" t="n">
        <v>6</v>
      </c>
      <c r="B4" s="2" t="inlineStr">
        <is>
          <t>Supply Chain Mapping &amp; Visibility</t>
        </is>
      </c>
      <c r="C4" s="2" t="inlineStr">
        <is>
          <t>What locations does Novelis Inc. operate in, and what primary facility types are associated with each location?</t>
        </is>
      </c>
      <c r="D4" s="2" t="inlineStr">
        <is>
          <t>Novelis Inc. has 3 facility records in Georgia, all updated to the same location.
Atlanta, Fulton County | Primary Facility Type: Manufacturing Plant
Atlanta, Fulton County | Primary Facility Type: Manufacturing Plant
Atlanta, Fulton County | Primary Facility Type: Manufacturing Plant
Note: The original Location column showed entries for Dalton and Atlanta; the Updated Location column consolidates all three records to Atlanta, Fulton County.</t>
        </is>
      </c>
      <c r="E4" s="2" t="inlineStr">
        <is>
          <t>- Location: Atlanta, Fulton County
  - Facility Type: Manufacturing Plant (3 records)
Total unique location: 1
Total unique facility type: 1</t>
        </is>
      </c>
      <c r="F4" s="2" t="inlineStr">
        <is>
          <t>RELEVANT KNOWLEDGE BASE EXCERPTS: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205 | Products: Seat, interior, and precision metal stamping
EV Relevant: No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260 | Products: Motor vehicle transmissions
EV Relevant: Indirect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t>
        </is>
      </c>
      <c r="G4" s="4" t="n">
        <v>1</v>
      </c>
      <c r="H4" s="4" t="n">
        <v>0.85</v>
      </c>
      <c r="I4" s="4" t="n">
        <v>1</v>
      </c>
      <c r="J4" s="4" t="n">
        <v>1</v>
      </c>
      <c r="K4" s="4" t="n">
        <v>1</v>
      </c>
      <c r="L4" s="4" t="n">
        <v>0.9700000000000001</v>
      </c>
      <c r="M4" s="2" t="inlineStr">
        <is>
          <t>The generated answer accurately reflects the retrieved context, which shows three facility records all located in Atlanta, Fulton County with facility type Manufacturing Plant. The answer correctly consolidates this information and does not introduce any unsupported claims.</t>
        </is>
      </c>
      <c r="N4" s="2" t="inlineStr">
        <is>
          <t>The generated answer correctly identifies the consolidated location (Atlanta, Fulton County) and the primary facility type (Manufacturing Plant), including the count of 3 records. However, it omits the important context about the original Dalton location and the consolidation process mentioned in the golden answer, which is relevant to fully understanding the data transformation.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20" customWidth="1" min="2" max="2"/>
    <col width="21" customWidth="1" min="3" max="3"/>
  </cols>
  <sheetData>
    <row r="1">
      <c r="A1" s="6" t="inlineStr">
        <is>
          <t>Metric</t>
        </is>
      </c>
      <c r="B1" s="6" t="inlineStr">
        <is>
          <t>Mean</t>
        </is>
      </c>
      <c r="C1" s="6" t="inlineStr">
        <is>
          <t>Std Dev</t>
        </is>
      </c>
    </row>
    <row r="2">
      <c r="A2" t="inlineStr">
        <is>
          <t>faithfulness</t>
        </is>
      </c>
      <c r="B2" s="7" t="n">
        <v>0.5833333333333334</v>
      </c>
      <c r="C2" s="8" t="n">
        <v>0.4249182927993987</v>
      </c>
    </row>
    <row r="3">
      <c r="A3" t="inlineStr">
        <is>
          <t>answer_relevancy</t>
        </is>
      </c>
      <c r="B3" s="7" t="n">
        <v>0.5333333333333333</v>
      </c>
      <c r="C3" s="8" t="n">
        <v>0.3793268892247014</v>
      </c>
    </row>
    <row r="4">
      <c r="A4" t="inlineStr">
        <is>
          <t>context_precision</t>
        </is>
      </c>
      <c r="B4" s="9" t="n">
        <v>1</v>
      </c>
      <c r="C4" s="8" t="n">
        <v>0</v>
      </c>
    </row>
    <row r="5">
      <c r="A5" t="inlineStr">
        <is>
          <t>context_recall</t>
        </is>
      </c>
      <c r="B5" s="9" t="n">
        <v>1</v>
      </c>
      <c r="C5" s="8" t="n">
        <v>0</v>
      </c>
    </row>
    <row r="6">
      <c r="A6" t="inlineStr">
        <is>
          <t>answer_correctness</t>
        </is>
      </c>
      <c r="B6" s="7" t="n">
        <v>0.5833333333333334</v>
      </c>
      <c r="C6" s="8" t="n">
        <v>0.4249182927993987</v>
      </c>
    </row>
    <row r="7">
      <c r="A7" t="inlineStr">
        <is>
          <t>final_score</t>
        </is>
      </c>
      <c r="B7" s="9" t="n">
        <v>0.7400000000000001</v>
      </c>
      <c r="C7" s="8" t="n">
        <v>0.245356882927706</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2026-04-05T09:50:53Z</dcterms:created>
  <dcterms:modified xmlns:dcterms="http://purl.org/dc/terms/" xmlns:xsi="http://www.w3.org/2001/XMLSchema-instance" xsi:type="dcterms:W3CDTF">2026-04-05T09:50:53Z</dcterms:modified>
</cp:coreProperties>
</file>